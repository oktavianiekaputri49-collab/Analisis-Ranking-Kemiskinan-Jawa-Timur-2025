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53E07469-8B59-4278-8199-E0215362BFEE}" xr6:coauthVersionLast="47" xr6:coauthVersionMax="47" xr10:uidLastSave="{00000000-0000-0000-0000-000000000000}"/>
  <bookViews>
    <workbookView xWindow="-110" yWindow="-110" windowWidth="19420" windowHeight="10300" xr2:uid="{74C9BC98-2961-45A8-AB16-889F55AB5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F4" i="1"/>
  <c r="D4" i="1"/>
  <c r="C4" i="1"/>
  <c r="C48" i="1" l="1"/>
  <c r="C47" i="1"/>
  <c r="C46" i="1"/>
  <c r="C45" i="1"/>
  <c r="C44" i="1"/>
  <c r="C22" i="1"/>
  <c r="C17" i="1"/>
  <c r="C34" i="1"/>
  <c r="C29" i="1"/>
  <c r="C20" i="1"/>
  <c r="C24" i="1"/>
  <c r="C26" i="1"/>
  <c r="C25" i="1"/>
  <c r="C32" i="1"/>
  <c r="C12" i="1"/>
  <c r="C15" i="1"/>
  <c r="C7" i="1"/>
  <c r="C28" i="1"/>
  <c r="C37" i="1"/>
  <c r="C23" i="1"/>
  <c r="C27" i="1"/>
  <c r="C18" i="1"/>
  <c r="C16" i="1"/>
  <c r="C21" i="1"/>
  <c r="C9" i="1"/>
  <c r="C14" i="1"/>
  <c r="C8" i="1"/>
  <c r="C13" i="1"/>
  <c r="C19" i="1"/>
  <c r="C5" i="1"/>
  <c r="C11" i="1"/>
  <c r="C6" i="1"/>
  <c r="C33" i="1"/>
  <c r="C30" i="1"/>
  <c r="C39" i="1"/>
  <c r="C35" i="1"/>
  <c r="C31" i="1"/>
  <c r="C36" i="1"/>
  <c r="C38" i="1"/>
  <c r="C40" i="1"/>
  <c r="C41" i="1"/>
  <c r="C10" i="1"/>
</calcChain>
</file>

<file path=xl/sharedStrings.xml><?xml version="1.0" encoding="utf-8"?>
<sst xmlns="http://schemas.openxmlformats.org/spreadsheetml/2006/main" count="53" uniqueCount="38">
  <si>
    <t>Jumlah Kemiskinan di Jawa Timur Tahun 2025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</si>
  <si>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</si>
  <si>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</si>
  <si>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</si>
  <si>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</si>
  <si>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</si>
  <si>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</si>
  <si>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</si>
  <si>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</si>
  <si>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</si>
  <si>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</si>
  <si>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</si>
  <si>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</si>
  <si>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</si>
  <si>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</si>
  <si>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</si>
  <si>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</si>
  <si>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</si>
  <si>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</si>
  <si>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</si>
  <si>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</si>
  <si>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</si>
  <si>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</si>
  <si>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</si>
  <si>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</si>
  <si>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</si>
  <si>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</si>
  <si>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</si>
  <si>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</si>
  <si>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</si>
  <si>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</si>
  <si>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</si>
  <si>
    <t>Kabupaten/
Kota</t>
  </si>
  <si>
    <t>Persentase 
Kemiskinan</t>
  </si>
  <si>
    <t>Ranking 
Daerah</t>
  </si>
  <si>
    <t>Rata-rata 
Kemiskinan</t>
  </si>
  <si>
    <t>Nilai 
Tertinggi</t>
  </si>
  <si>
    <t>Nilai 
Terendah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</si>
</sst>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2" fillId="0" borderId="0" xfId="1" applyNumberFormat="1" applyFont="1"/>
    <xf numFmtId="2" fontId="2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43" fontId="2" fillId="0" borderId="1" xfId="1" applyFont="1" applyBorder="1"/>
    <xf numFmtId="0" fontId="3" fillId="2" borderId="1" xfId="0" applyFont="1" applyFill="1" applyBorder="1" applyAlignment="1">
      <alignment horizontal="center" wrapText="1"/>
    </xf>
    <xf numFmtId="2" fontId="3" fillId="2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Tertinggi di Jawa Timur Tahun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Sampang</c:v>
                </c:pt>
                <c:pt idx="1">
                  <c:v>Bangkalan</c:v>
                </c:pt>
                <c:pt idx="2">
                  <c:v>Sumenep</c:v>
                </c:pt>
                <c:pt idx="3">
                  <c:v>Probolinggo</c:v>
                </c:pt>
                <c:pt idx="4">
                  <c:v>Tuban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20.61</c:v>
                </c:pt>
                <c:pt idx="1">
                  <c:v>18.25</c:v>
                </c:pt>
                <c:pt idx="2">
                  <c:v>17.02</c:v>
                </c:pt>
                <c:pt idx="3">
                  <c:v>16.309999999999999</c:v>
                </c:pt>
                <c:pt idx="4">
                  <c:v>14.13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E-40E2-BF29-C0ACD73A5A62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Sampang</c:v>
                </c:pt>
                <c:pt idx="1">
                  <c:v>Bangkalan</c:v>
                </c:pt>
                <c:pt idx="2">
                  <c:v>Sumenep</c:v>
                </c:pt>
                <c:pt idx="3">
                  <c:v>Probolinggo</c:v>
                </c:pt>
                <c:pt idx="4">
                  <c:v>Tuban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E-40E2-BF29-C0ACD73A5A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9145376"/>
        <c:axId val="912150224"/>
      </c:barChart>
      <c:catAx>
        <c:axId val="107914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12150224"/>
        <c:crosses val="autoZero"/>
        <c:auto val="1"/>
        <c:lblAlgn val="ctr"/>
        <c:lblOffset val="100"/>
        <c:noMultiLvlLbl val="0"/>
      </c:catAx>
      <c:valAx>
        <c:axId val="91215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914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195083860369724"/>
          <c:y val="0.88522322026631439"/>
          <c:w val="0.32045533611049548"/>
          <c:h val="0.114776779733685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Terendah di Jawa Timur Tahun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Sheet1!$A$44:$A$48</c:f>
              <c:strCache>
                <c:ptCount val="5"/>
                <c:pt idx="0">
                  <c:v>Sidoarjo</c:v>
                </c:pt>
                <c:pt idx="1">
                  <c:v>Madiun</c:v>
                </c:pt>
                <c:pt idx="2">
                  <c:v>Malang</c:v>
                </c:pt>
                <c:pt idx="3">
                  <c:v>Surabaya</c:v>
                </c:pt>
                <c:pt idx="4">
                  <c:v>Batu</c:v>
                </c:pt>
              </c:strCache>
            </c:strRef>
          </c:cat>
          <c:val>
            <c:numRef>
              <c:f>Sheet1!$B$44:$B$48</c:f>
              <c:numCache>
                <c:formatCode>General</c:formatCode>
                <c:ptCount val="5"/>
                <c:pt idx="0">
                  <c:v>4.4000000000000004</c:v>
                </c:pt>
                <c:pt idx="1">
                  <c:v>3.89</c:v>
                </c:pt>
                <c:pt idx="2">
                  <c:v>3.85</c:v>
                </c:pt>
                <c:pt idx="3">
                  <c:v>3.56</c:v>
                </c:pt>
                <c:pt idx="4">
                  <c:v>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A-449E-B836-C54372DB5360}"/>
            </c:ext>
          </c:extLst>
        </c:ser>
        <c:ser>
          <c:idx val="1"/>
          <c:order val="1"/>
          <c:tx>
            <c:strRef>
              <c:f>Sheet1!$C$43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Sheet1!$A$44:$A$48</c:f>
              <c:strCache>
                <c:ptCount val="5"/>
                <c:pt idx="0">
                  <c:v>Sidoarjo</c:v>
                </c:pt>
                <c:pt idx="1">
                  <c:v>Madiun</c:v>
                </c:pt>
                <c:pt idx="2">
                  <c:v>Malang</c:v>
                </c:pt>
                <c:pt idx="3">
                  <c:v>Surabaya</c:v>
                </c:pt>
                <c:pt idx="4">
                  <c:v>Batu</c:v>
                </c:pt>
              </c:strCache>
            </c:strRef>
          </c:cat>
          <c:val>
            <c:numRef>
              <c:f>Sheet1!$C$44:$C$48</c:f>
              <c:numCache>
                <c:formatCode>General</c:formatCode>
                <c:ptCount val="5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A-449E-B836-C54372DB53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4020192"/>
        <c:axId val="915253936"/>
      </c:barChart>
      <c:catAx>
        <c:axId val="108402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15253936"/>
        <c:crosses val="autoZero"/>
        <c:auto val="1"/>
        <c:lblAlgn val="ctr"/>
        <c:lblOffset val="100"/>
        <c:noMultiLvlLbl val="0"/>
      </c:catAx>
      <c:valAx>
        <c:axId val="91525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8402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31817</xdr:colOff>
      <xdr:row>49</xdr:row>
      <xdr:rowOff>70555</xdr:rowOff>
    </xdr:from>
    <xdr:to>
      <xdr:col>5</xdr:col>
      <xdr:colOff>749301</xdr:colOff>
      <xdr:row>65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64BEEA-4733-1BE5-2BA0-D9D44539D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17105</xdr:colOff>
      <xdr:row>67</xdr:row>
      <xdr:rowOff>25400</xdr:rowOff>
    </xdr:from>
    <xdr:to>
      <xdr:col>5</xdr:col>
      <xdr:colOff>762000</xdr:colOff>
      <xdr:row>83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56C0D6-0B59-57D5-FF01-08FDA325F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17B6-C1A3-4A5C-8F0E-6ACBF3EC7BA0}">
  <dimension ref="A1:F48"/>
  <sheetViews>
    <sheetView tabSelected="1" zoomScaleNormal="100" workbookViewId="0">
      <selection activeCell="H68" sqref="H68"/>
    </sheetView>
  </sheetViews>
  <sheetFormatPr defaultRowHeight="15.5" x14ac:dyDescent="0.35"/>
  <cols>
    <col min="1" max="1" width="14" style="3" customWidth="1"/>
    <col min="2" max="2" width="15.36328125" style="3" customWidth="1"/>
    <col min="3" max="3" width="12.81640625" style="3" customWidth="1"/>
    <col min="4" max="4" width="15.90625" style="3" customWidth="1"/>
    <col min="5" max="5" width="11.08984375" style="3" customWidth="1"/>
    <col min="6" max="6" width="11.7265625" style="3" customWidth="1"/>
    <col min="7" max="16384" width="8.7265625" style="3"/>
  </cols>
  <sheetData>
    <row r="1" spans="1:6" x14ac:dyDescent="0.35">
      <c r="A1" s="4" t="s">
        <v>0</v>
      </c>
      <c r="B1" s="1"/>
      <c r="C1" s="2"/>
    </row>
    <row r="2" spans="1:6" x14ac:dyDescent="0.35">
      <c r="B2" s="1"/>
      <c r="C2" s="2"/>
    </row>
    <row r="3" spans="1:6" ht="30.5" x14ac:dyDescent="0.35">
      <c r="A3" s="7" t="s">
        <v>32</v>
      </c>
      <c r="B3" s="8" t="s">
        <v>33</v>
      </c>
      <c r="C3" s="9" t="s">
        <v>34</v>
      </c>
      <c r="D3" s="9" t="s">
        <v>35</v>
      </c>
      <c r="E3" s="9" t="s">
        <v>36</v>
      </c>
      <c r="F3" s="9" t="s">
        <v>37</v>
      </c>
    </row>
    <row r="4" spans="1:6" x14ac:dyDescent="0.35">
      <c r="A4" s="5" t="s">
        <v>27</v>
      </c>
      <c r="B4" s="5">
        <v>20.61</v>
      </c>
      <c r="C4" s="5">
        <f>RANK(B4,$B$4:$B$41,0)</f>
        <v>1</v>
      </c>
      <c r="D4" s="6">
        <f>AVERAGE($B$4:$B$41)</f>
        <v>9.4807894736842115</v>
      </c>
      <c r="E4" s="5">
        <f>MAX($B$4:$B$41)</f>
        <v>20.61</v>
      </c>
      <c r="F4" s="5">
        <f>MIN($B$4:$B$41)</f>
        <v>2.86</v>
      </c>
    </row>
    <row r="5" spans="1:6" x14ac:dyDescent="0.35">
      <c r="A5" s="5" t="s">
        <v>26</v>
      </c>
      <c r="B5" s="5">
        <v>18.25</v>
      </c>
      <c r="C5" s="5">
        <f t="shared" ref="C5:C41" si="0">RANK(B5,$B$4:$B$41,0)</f>
        <v>2</v>
      </c>
      <c r="D5" s="5"/>
      <c r="E5" s="5"/>
      <c r="F5" s="5"/>
    </row>
    <row r="6" spans="1:6" x14ac:dyDescent="0.35">
      <c r="A6" s="5" t="s">
        <v>29</v>
      </c>
      <c r="B6" s="5">
        <v>17.02</v>
      </c>
      <c r="C6" s="5">
        <f t="shared" si="0"/>
        <v>3</v>
      </c>
      <c r="D6" s="5"/>
      <c r="E6" s="5"/>
      <c r="F6" s="5"/>
    </row>
    <row r="7" spans="1:6" x14ac:dyDescent="0.35">
      <c r="A7" s="5" t="s">
        <v>13</v>
      </c>
      <c r="B7" s="5">
        <v>16.309999999999999</v>
      </c>
      <c r="C7" s="5">
        <f t="shared" si="0"/>
        <v>4</v>
      </c>
      <c r="D7" s="5"/>
      <c r="E7" s="5"/>
      <c r="F7" s="5"/>
    </row>
    <row r="8" spans="1:6" x14ac:dyDescent="0.35">
      <c r="A8" s="5" t="s">
        <v>23</v>
      </c>
      <c r="B8" s="5">
        <v>14.13</v>
      </c>
      <c r="C8" s="5">
        <f t="shared" si="0"/>
        <v>5</v>
      </c>
      <c r="D8" s="5"/>
      <c r="E8" s="5"/>
      <c r="F8" s="5"/>
    </row>
    <row r="9" spans="1:6" x14ac:dyDescent="0.35">
      <c r="A9" s="5" t="s">
        <v>21</v>
      </c>
      <c r="B9" s="5">
        <v>13.62</v>
      </c>
      <c r="C9" s="5">
        <f t="shared" si="0"/>
        <v>6</v>
      </c>
      <c r="D9" s="5"/>
      <c r="E9" s="5"/>
      <c r="F9" s="5"/>
    </row>
    <row r="10" spans="1:6" x14ac:dyDescent="0.35">
      <c r="A10" s="5" t="s">
        <v>1</v>
      </c>
      <c r="B10" s="5">
        <v>12.97</v>
      </c>
      <c r="C10" s="5">
        <f t="shared" si="0"/>
        <v>7</v>
      </c>
      <c r="D10" s="5"/>
      <c r="E10" s="5"/>
      <c r="F10" s="5"/>
    </row>
    <row r="11" spans="1:6" x14ac:dyDescent="0.35">
      <c r="A11" s="5" t="s">
        <v>28</v>
      </c>
      <c r="B11" s="5">
        <v>12.77</v>
      </c>
      <c r="C11" s="5">
        <f t="shared" si="0"/>
        <v>8</v>
      </c>
      <c r="D11" s="5"/>
      <c r="E11" s="5"/>
      <c r="F11" s="5"/>
    </row>
    <row r="12" spans="1:6" x14ac:dyDescent="0.35">
      <c r="A12" s="5" t="s">
        <v>11</v>
      </c>
      <c r="B12" s="5">
        <v>12.2</v>
      </c>
      <c r="C12" s="5">
        <f t="shared" si="0"/>
        <v>9</v>
      </c>
      <c r="D12" s="5"/>
      <c r="E12" s="5"/>
      <c r="F12" s="5"/>
    </row>
    <row r="13" spans="1:6" x14ac:dyDescent="0.35">
      <c r="A13" s="5" t="s">
        <v>24</v>
      </c>
      <c r="B13" s="5">
        <v>12.03</v>
      </c>
      <c r="C13" s="5">
        <f t="shared" si="0"/>
        <v>10</v>
      </c>
      <c r="D13" s="5"/>
      <c r="E13" s="5"/>
      <c r="F13" s="5"/>
    </row>
    <row r="14" spans="1:6" x14ac:dyDescent="0.35">
      <c r="A14" s="5" t="s">
        <v>22</v>
      </c>
      <c r="B14" s="5">
        <v>11.49</v>
      </c>
      <c r="C14" s="5">
        <f t="shared" si="0"/>
        <v>11</v>
      </c>
      <c r="D14" s="5"/>
      <c r="E14" s="5"/>
      <c r="F14" s="5"/>
    </row>
    <row r="15" spans="1:6" x14ac:dyDescent="0.35">
      <c r="A15" s="5" t="s">
        <v>12</v>
      </c>
      <c r="B15" s="5">
        <v>11.17</v>
      </c>
      <c r="C15" s="5">
        <f t="shared" si="0"/>
        <v>12</v>
      </c>
      <c r="D15" s="5"/>
      <c r="E15" s="5"/>
      <c r="F15" s="5"/>
    </row>
    <row r="16" spans="1:6" x14ac:dyDescent="0.35">
      <c r="A16" s="5" t="s">
        <v>19</v>
      </c>
      <c r="B16" s="5">
        <v>10.4</v>
      </c>
      <c r="C16" s="5">
        <f t="shared" si="0"/>
        <v>13</v>
      </c>
      <c r="D16" s="5"/>
      <c r="E16" s="5"/>
      <c r="F16" s="5"/>
    </row>
    <row r="17" spans="1:6" x14ac:dyDescent="0.35">
      <c r="A17" s="5" t="s">
        <v>3</v>
      </c>
      <c r="B17" s="5">
        <v>10.29</v>
      </c>
      <c r="C17" s="5">
        <f t="shared" si="0"/>
        <v>14</v>
      </c>
      <c r="D17" s="5"/>
      <c r="E17" s="5"/>
      <c r="F17" s="5"/>
    </row>
    <row r="18" spans="1:6" x14ac:dyDescent="0.35">
      <c r="A18" s="5" t="s">
        <v>18</v>
      </c>
      <c r="B18" s="5">
        <v>10.06</v>
      </c>
      <c r="C18" s="5">
        <f t="shared" si="0"/>
        <v>15</v>
      </c>
      <c r="D18" s="5"/>
      <c r="E18" s="5"/>
      <c r="F18" s="5"/>
    </row>
    <row r="19" spans="1:6" x14ac:dyDescent="0.35">
      <c r="A19" s="5" t="s">
        <v>25</v>
      </c>
      <c r="B19" s="5">
        <v>9.9499999999999993</v>
      </c>
      <c r="C19" s="5">
        <f t="shared" si="0"/>
        <v>16</v>
      </c>
      <c r="D19" s="5"/>
      <c r="E19" s="5"/>
      <c r="F19" s="5"/>
    </row>
    <row r="20" spans="1:6" x14ac:dyDescent="0.35">
      <c r="A20" s="5" t="s">
        <v>6</v>
      </c>
      <c r="B20" s="5">
        <v>9.81</v>
      </c>
      <c r="C20" s="5">
        <f t="shared" si="0"/>
        <v>17</v>
      </c>
      <c r="D20" s="5"/>
      <c r="E20" s="5"/>
      <c r="F20" s="5"/>
    </row>
    <row r="21" spans="1:6" x14ac:dyDescent="0.35">
      <c r="A21" s="5" t="s">
        <v>20</v>
      </c>
      <c r="B21" s="5">
        <v>9.14</v>
      </c>
      <c r="C21" s="5">
        <f t="shared" si="0"/>
        <v>18</v>
      </c>
      <c r="D21" s="5"/>
      <c r="E21" s="5"/>
      <c r="F21" s="5"/>
    </row>
    <row r="22" spans="1:6" x14ac:dyDescent="0.35">
      <c r="A22" s="5" t="s">
        <v>2</v>
      </c>
      <c r="B22" s="5">
        <v>8.86</v>
      </c>
      <c r="C22" s="5">
        <f t="shared" si="0"/>
        <v>19</v>
      </c>
      <c r="D22" s="5"/>
      <c r="E22" s="5"/>
      <c r="F22" s="5"/>
    </row>
    <row r="23" spans="1:6" x14ac:dyDescent="0.35">
      <c r="A23" s="5" t="s">
        <v>16</v>
      </c>
      <c r="B23" s="5">
        <v>8.7899999999999991</v>
      </c>
      <c r="C23" s="5">
        <f t="shared" si="0"/>
        <v>20</v>
      </c>
      <c r="D23" s="5"/>
      <c r="E23" s="5"/>
      <c r="F23" s="5"/>
    </row>
    <row r="24" spans="1:6" x14ac:dyDescent="0.35">
      <c r="A24" s="5" t="s">
        <v>7</v>
      </c>
      <c r="B24" s="5">
        <v>8.7799999999999994</v>
      </c>
      <c r="C24" s="5">
        <f t="shared" si="0"/>
        <v>21</v>
      </c>
      <c r="D24" s="5"/>
      <c r="E24" s="5"/>
      <c r="F24" s="5"/>
    </row>
    <row r="25" spans="1:6" x14ac:dyDescent="0.35">
      <c r="A25" s="5" t="s">
        <v>9</v>
      </c>
      <c r="B25" s="5">
        <v>8.67</v>
      </c>
      <c r="C25" s="5">
        <f t="shared" si="0"/>
        <v>22</v>
      </c>
      <c r="D25" s="5"/>
      <c r="E25" s="5"/>
      <c r="F25" s="5"/>
    </row>
    <row r="26" spans="1:6" x14ac:dyDescent="0.35">
      <c r="A26" s="5" t="s">
        <v>8</v>
      </c>
      <c r="B26" s="5">
        <v>8.6</v>
      </c>
      <c r="C26" s="5">
        <f t="shared" si="0"/>
        <v>23</v>
      </c>
      <c r="D26" s="5"/>
      <c r="E26" s="5"/>
      <c r="F26" s="5"/>
    </row>
    <row r="27" spans="1:6" x14ac:dyDescent="0.35">
      <c r="A27" s="5" t="s">
        <v>17</v>
      </c>
      <c r="B27" s="5">
        <v>8.36</v>
      </c>
      <c r="C27" s="5">
        <f t="shared" si="0"/>
        <v>24</v>
      </c>
      <c r="D27" s="5"/>
      <c r="E27" s="5"/>
      <c r="F27" s="5"/>
    </row>
    <row r="28" spans="1:6" x14ac:dyDescent="0.35">
      <c r="A28" s="5" t="s">
        <v>14</v>
      </c>
      <c r="B28" s="5">
        <v>8.2100000000000009</v>
      </c>
      <c r="C28" s="5">
        <f t="shared" si="0"/>
        <v>25</v>
      </c>
      <c r="D28" s="5"/>
      <c r="E28" s="5"/>
      <c r="F28" s="5"/>
    </row>
    <row r="29" spans="1:6" x14ac:dyDescent="0.35">
      <c r="A29" s="5" t="s">
        <v>5</v>
      </c>
      <c r="B29" s="5">
        <v>7.57</v>
      </c>
      <c r="C29" s="5">
        <f t="shared" si="0"/>
        <v>26</v>
      </c>
      <c r="D29" s="5"/>
      <c r="E29" s="5"/>
      <c r="F29" s="5"/>
    </row>
    <row r="30" spans="1:6" x14ac:dyDescent="0.35">
      <c r="A30" s="5" t="s">
        <v>5</v>
      </c>
      <c r="B30" s="5">
        <v>6.6</v>
      </c>
      <c r="C30" s="5">
        <f t="shared" si="0"/>
        <v>27</v>
      </c>
      <c r="D30" s="5"/>
      <c r="E30" s="5"/>
      <c r="F30" s="5"/>
    </row>
    <row r="31" spans="1:6" x14ac:dyDescent="0.35">
      <c r="A31" s="5" t="s">
        <v>14</v>
      </c>
      <c r="B31" s="5">
        <v>6.18</v>
      </c>
      <c r="C31" s="5">
        <f t="shared" si="0"/>
        <v>28</v>
      </c>
      <c r="D31" s="5"/>
      <c r="E31" s="5"/>
      <c r="F31" s="5"/>
    </row>
    <row r="32" spans="1:6" x14ac:dyDescent="0.35">
      <c r="A32" s="5" t="s">
        <v>10</v>
      </c>
      <c r="B32" s="5">
        <v>6.13</v>
      </c>
      <c r="C32" s="5">
        <f t="shared" si="0"/>
        <v>29</v>
      </c>
      <c r="D32" s="5"/>
      <c r="E32" s="5"/>
      <c r="F32" s="5"/>
    </row>
    <row r="33" spans="1:6" x14ac:dyDescent="0.35">
      <c r="A33" s="5" t="s">
        <v>6</v>
      </c>
      <c r="B33" s="5">
        <v>6.04</v>
      </c>
      <c r="C33" s="5">
        <f t="shared" si="0"/>
        <v>30</v>
      </c>
      <c r="D33" s="5"/>
      <c r="E33" s="5"/>
      <c r="F33" s="5"/>
    </row>
    <row r="34" spans="1:6" x14ac:dyDescent="0.35">
      <c r="A34" s="5" t="s">
        <v>4</v>
      </c>
      <c r="B34" s="5">
        <v>5.96</v>
      </c>
      <c r="C34" s="5">
        <f t="shared" si="0"/>
        <v>31</v>
      </c>
      <c r="D34" s="5"/>
      <c r="E34" s="5"/>
      <c r="F34" s="5"/>
    </row>
    <row r="35" spans="1:6" x14ac:dyDescent="0.35">
      <c r="A35" s="5" t="s">
        <v>13</v>
      </c>
      <c r="B35" s="5">
        <v>5.69</v>
      </c>
      <c r="C35" s="5">
        <f t="shared" si="0"/>
        <v>32</v>
      </c>
      <c r="D35" s="5"/>
      <c r="E35" s="5"/>
      <c r="F35" s="5"/>
    </row>
    <row r="36" spans="1:6" x14ac:dyDescent="0.35">
      <c r="A36" s="5" t="s">
        <v>16</v>
      </c>
      <c r="B36" s="5">
        <v>5.05</v>
      </c>
      <c r="C36" s="5">
        <f t="shared" si="0"/>
        <v>33</v>
      </c>
      <c r="D36" s="5"/>
      <c r="E36" s="5"/>
      <c r="F36" s="5"/>
    </row>
    <row r="37" spans="1:6" x14ac:dyDescent="0.35">
      <c r="A37" s="5" t="s">
        <v>15</v>
      </c>
      <c r="B37" s="5">
        <v>4.4000000000000004</v>
      </c>
      <c r="C37" s="5">
        <f t="shared" si="0"/>
        <v>34</v>
      </c>
      <c r="D37" s="5"/>
      <c r="E37" s="5"/>
      <c r="F37" s="5"/>
    </row>
    <row r="38" spans="1:6" x14ac:dyDescent="0.35">
      <c r="A38" s="5" t="s">
        <v>19</v>
      </c>
      <c r="B38" s="5">
        <v>3.89</v>
      </c>
      <c r="C38" s="5">
        <f t="shared" si="0"/>
        <v>35</v>
      </c>
      <c r="D38" s="5"/>
      <c r="E38" s="5"/>
      <c r="F38" s="5"/>
    </row>
    <row r="39" spans="1:6" x14ac:dyDescent="0.35">
      <c r="A39" s="5" t="s">
        <v>7</v>
      </c>
      <c r="B39" s="5">
        <v>3.85</v>
      </c>
      <c r="C39" s="5">
        <f t="shared" si="0"/>
        <v>36</v>
      </c>
      <c r="D39" s="5"/>
      <c r="E39" s="5"/>
      <c r="F39" s="5"/>
    </row>
    <row r="40" spans="1:6" x14ac:dyDescent="0.35">
      <c r="A40" s="5" t="s">
        <v>30</v>
      </c>
      <c r="B40" s="5">
        <v>3.56</v>
      </c>
      <c r="C40" s="5">
        <f t="shared" si="0"/>
        <v>37</v>
      </c>
      <c r="D40" s="5"/>
      <c r="E40" s="5"/>
      <c r="F40" s="5"/>
    </row>
    <row r="41" spans="1:6" x14ac:dyDescent="0.35">
      <c r="A41" s="5" t="s">
        <v>31</v>
      </c>
      <c r="B41" s="5">
        <v>2.86</v>
      </c>
      <c r="C41" s="5">
        <f t="shared" si="0"/>
        <v>38</v>
      </c>
      <c r="D41" s="5"/>
      <c r="E41" s="5"/>
      <c r="F41" s="5"/>
    </row>
    <row r="43" spans="1:6" ht="30.5" x14ac:dyDescent="0.35">
      <c r="A43" s="7" t="s">
        <v>32</v>
      </c>
      <c r="B43" s="8" t="s">
        <v>33</v>
      </c>
      <c r="C43" s="9" t="s">
        <v>34</v>
      </c>
    </row>
    <row r="44" spans="1:6" x14ac:dyDescent="0.35">
      <c r="A44" s="5" t="s">
        <v>15</v>
      </c>
      <c r="B44" s="5">
        <v>4.4000000000000004</v>
      </c>
      <c r="C44" s="5">
        <f>RANK(B44,$B$4:$B$41,0)</f>
        <v>34</v>
      </c>
    </row>
    <row r="45" spans="1:6" x14ac:dyDescent="0.35">
      <c r="A45" s="5" t="s">
        <v>19</v>
      </c>
      <c r="B45" s="5">
        <v>3.89</v>
      </c>
      <c r="C45" s="5">
        <f>RANK(B45,$B$4:$B$41,0)</f>
        <v>35</v>
      </c>
    </row>
    <row r="46" spans="1:6" x14ac:dyDescent="0.35">
      <c r="A46" s="5" t="s">
        <v>7</v>
      </c>
      <c r="B46" s="5">
        <v>3.85</v>
      </c>
      <c r="C46" s="5">
        <f>RANK(B46,$B$4:$B$41,0)</f>
        <v>36</v>
      </c>
    </row>
    <row r="47" spans="1:6" x14ac:dyDescent="0.35">
      <c r="A47" s="5" t="s">
        <v>30</v>
      </c>
      <c r="B47" s="5">
        <v>3.56</v>
      </c>
      <c r="C47" s="5">
        <f>RANK(B47,$B$4:$B$41,0)</f>
        <v>37</v>
      </c>
    </row>
    <row r="48" spans="1:6" x14ac:dyDescent="0.35">
      <c r="A48" s="5" t="s">
        <v>31</v>
      </c>
      <c r="B48" s="5">
        <v>2.86</v>
      </c>
      <c r="C48" s="5">
        <f>RANK(B48,$B$4:$B$41,0)</f>
        <v>38</v>
      </c>
    </row>
  </sheetData>
  <sortState xmlns:xlrd2="http://schemas.microsoft.com/office/spreadsheetml/2017/richdata2" ref="A4:F41">
    <sortCondition ref="C4:C41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2026-05-25T08:04:41Z</dcterms:created>
  <dcterms:modified xsi:type="dcterms:W3CDTF">2026-05-27T11:29:48Z</dcterms:modified>
</cp:coreProperties>
</file>